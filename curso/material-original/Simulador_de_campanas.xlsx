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commentsmeta2"/>
  <Override ContentType="application/binary" PartName="/xl/metadata"/>
  <Override ContentType="application/binary" PartName="/xl/commentsmeta3"/>
  <Override ContentType="application/binary" PartName="/xl/commentsmeta0"/>
  <Override ContentType="application/binary" PartName="/xl/commentsmeta1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spreadsheetml.comments+xml" PartName="/xl/comments4.xml"/>
  <Override ContentType="application/vnd.openxmlformats-officedocument.spreadsheetml.comments+xml" PartName="/xl/comments3.xml"/>
  <Override ContentType="application/vnd.openxmlformats-officedocument.spreadsheetml.comments+xml" PartName="/xl/comments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onversaciones" sheetId="1" r:id="rId4"/>
    <sheet state="visible" name="Compras (sitio web)" sheetId="2" r:id="rId5"/>
    <sheet state="visible" name="Clientes Potenciales de Meta" sheetId="3" r:id="rId6"/>
    <sheet state="visible" name="Clientes Potenciales en el siti" sheetId="4" r:id="rId7"/>
    <sheet state="visible" name="Alcance  Thruplays" sheetId="5" r:id="rId8"/>
  </sheets>
  <definedNames/>
  <calcPr/>
  <extLst>
    <ext uri="GoogleSheetsCustomDataVersion2">
      <go:sheetsCustomData xmlns:go="http://customooxmlschemas.google.com/" r:id="rId9" roundtripDataChecksum="IDpjlZV6RW9CLw7L8ErS4gQz2jQ9MwyMgO+PZDx2bSY="/>
    </ext>
  </extLst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4">
      <text>
        <t xml:space="preserve">======
ID#AAABevG7nQE
Felipe Vergara    (2025-02-26 16:49:58)
Conversaciones / Clics únicos en el enlace</t>
      </text>
    </comment>
  </commentList>
  <extLst>
    <ext uri="GoogleSheetsCustomDataVersion2">
      <go:sheetsCustomData xmlns:go="http://customooxmlschemas.google.com/" r:id="rId1" roundtripDataSignature="AMtx7mj2OcE5WgVcDda+woNedr9SP4Vq5Q=="/>
    </ext>
  </extLst>
</comments>
</file>

<file path=xl/comments2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6">
      <text>
        <t xml:space="preserve">======
ID#AAABk-bH8pk
Felipe Vergara    (2025-07-11 17:23:48)
Visitas a la página de destino / Clics salientes</t>
      </text>
    </comment>
  </commentList>
  <extLst>
    <ext uri="GoogleSheetsCustomDataVersion2">
      <go:sheetsCustomData xmlns:go="http://customooxmlschemas.google.com/" r:id="rId1" roundtripDataSignature="AMtx7mizEgTB2xOGr5Tu9eDK98lnPB3Udg=="/>
    </ext>
  </extLst>
</comments>
</file>

<file path=xl/comments3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4">
      <text>
        <t xml:space="preserve">======
ID#AAABk-bH8pY
Felipe Vergara    (2025-07-11 17:21:38)
Clientes potenciales de Meta / Clics únicos en el enlace</t>
      </text>
    </comment>
  </commentList>
  <extLst>
    <ext uri="GoogleSheetsCustomDataVersion2">
      <go:sheetsCustomData xmlns:go="http://customooxmlschemas.google.com/" r:id="rId1" roundtripDataSignature="AMtx7mgxDrkmaMLSjxs7o3KkksabiYhCMg=="/>
    </ext>
  </extLst>
</comments>
</file>

<file path=xl/comments4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5">
      <text>
        <t xml:space="preserve">======
ID#AAABk-bH8pg
Felipe Vergara    (2025-07-11 17:23:33)
Visitas a la página de destino / Clics salientes</t>
      </text>
    </comment>
    <comment authorId="0" ref="A4">
      <text>
        <t xml:space="preserve">======
ID#AAABk-bH8pc
Felipe Vergara    (2025-07-11 17:23:17)
Clientes potenciales en el sitio web / Visitas a la página de destino</t>
      </text>
    </comment>
  </commentList>
  <extLst>
    <ext uri="GoogleSheetsCustomDataVersion2">
      <go:sheetsCustomData xmlns:go="http://customooxmlschemas.google.com/" r:id="rId1" roundtripDataSignature="AMtx7miZforZH2AFV6Cd28bQnbKVgpLqOg=="/>
    </ext>
  </extLst>
</comments>
</file>

<file path=xl/sharedStrings.xml><?xml version="1.0" encoding="utf-8"?>
<sst xmlns="http://schemas.openxmlformats.org/spreadsheetml/2006/main" count="64" uniqueCount="31">
  <si>
    <t>Conversaciones</t>
  </si>
  <si>
    <t>Importe gastado ($)</t>
  </si>
  <si>
    <t>Tasa de Conversión a Mensajes (%)</t>
  </si>
  <si>
    <t>CTR único en el enlace (%)</t>
  </si>
  <si>
    <t>Frecuencia</t>
  </si>
  <si>
    <t>CPM ($)</t>
  </si>
  <si>
    <t>🛑 No tocar</t>
  </si>
  <si>
    <t>Impresiones</t>
  </si>
  <si>
    <t>Alcance</t>
  </si>
  <si>
    <t>Clics únicos en el enlace</t>
  </si>
  <si>
    <t>Costo por Conversación ($)</t>
  </si>
  <si>
    <t>Compras (sitio web)</t>
  </si>
  <si>
    <t>Porcentaje de compras</t>
  </si>
  <si>
    <t xml:space="preserve">Valor de compras promedio
</t>
  </si>
  <si>
    <t>Porcentaje de visitas</t>
  </si>
  <si>
    <t>Porcentaje de clics salientes</t>
  </si>
  <si>
    <t>Clics salientes</t>
  </si>
  <si>
    <t>Visitas a la página de destino</t>
  </si>
  <si>
    <t>Compras</t>
  </si>
  <si>
    <t>Costo por Compra ($)</t>
  </si>
  <si>
    <t>Valor de compras ($)</t>
  </si>
  <si>
    <t>ROAS</t>
  </si>
  <si>
    <t>Clientes Potenciales de Meta</t>
  </si>
  <si>
    <t>Tasa de Conversión (%)</t>
  </si>
  <si>
    <t>Clientes Potenciales</t>
  </si>
  <si>
    <t>Costo por Cliente Potencial ($)</t>
  </si>
  <si>
    <t>Clientes Potenciales en el sitio web</t>
  </si>
  <si>
    <t>Alcance / Thruplays</t>
  </si>
  <si>
    <t>Costo por mil personas alcanzadas ($)</t>
  </si>
  <si>
    <t>Costo por Thruplay</t>
  </si>
  <si>
    <t>Thruplays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</si>
</sst>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&quot;$&quot;#,##0.00"/>
    <numFmt numFmtId="165" formatCode="&quot;$&quot;#,##0"/>
  </numFmts>
  <fonts count="6">
    <font>
      <sz val="11.0"/>
      <color theme="1"/>
      <name val="Calibri"/>
      <scheme val="minor"/>
    </font>
    <font>
      <b/>
      <sz val="18.0"/>
      <color theme="1"/>
      <name val="Calibri"/>
      <scheme val="minor"/>
    </font>
    <font>
      <sz val="18.0"/>
      <color theme="1"/>
      <name val="Calibri"/>
      <scheme val="minor"/>
    </font>
    <font>
      <sz val="16.0"/>
      <color theme="1"/>
      <name val="Calibri"/>
      <scheme val="minor"/>
    </font>
    <font>
      <sz val="16.0"/>
      <color theme="1"/>
      <name val="Calibri"/>
    </font>
    <font>
      <b/>
      <sz val="16.0"/>
      <color theme="1"/>
      <name val="Calibri"/>
      <scheme val="minor"/>
    </font>
  </fonts>
  <fills count="4">
    <fill>
      <patternFill patternType="none"/>
    </fill>
    <fill>
      <patternFill patternType="lightGray"/>
    </fill>
    <fill>
      <patternFill patternType="solid">
        <fgColor rgb="FFD9EAD3"/>
        <bgColor rgb="FFD9EAD3"/>
      </patternFill>
    </fill>
    <fill>
      <patternFill patternType="solid">
        <fgColor theme="0"/>
        <bgColor theme="0"/>
      </patternFill>
    </fill>
  </fills>
  <borders count="1">
    <border/>
  </borders>
  <cellStyleXfs count="1">
    <xf borderId="0" fillId="0" fontId="0" numFmtId="0" applyAlignment="1" applyFont="1"/>
  </cellStyleXfs>
  <cellXfs count="20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 vertical="center"/>
    </xf>
    <xf borderId="0" fillId="0" fontId="2" numFmtId="0" xfId="0" applyAlignment="1" applyFont="1">
      <alignment vertical="center"/>
    </xf>
    <xf borderId="0" fillId="0" fontId="3" numFmtId="0" xfId="0" applyAlignment="1" applyFont="1">
      <alignment readingOrder="0" vertical="center"/>
    </xf>
    <xf borderId="0" fillId="0" fontId="4" numFmtId="164" xfId="0" applyAlignment="1" applyFont="1" applyNumberFormat="1">
      <alignment vertical="center"/>
    </xf>
    <xf borderId="0" fillId="0" fontId="3" numFmtId="0" xfId="0" applyAlignment="1" applyFont="1">
      <alignment vertical="center"/>
    </xf>
    <xf borderId="0" fillId="0" fontId="4" numFmtId="10" xfId="0" applyAlignment="1" applyFont="1" applyNumberFormat="1">
      <alignment readingOrder="0" vertical="center"/>
    </xf>
    <xf borderId="0" fillId="0" fontId="4" numFmtId="4" xfId="0" applyAlignment="1" applyFont="1" applyNumberFormat="1">
      <alignment readingOrder="0" vertical="center"/>
    </xf>
    <xf borderId="0" fillId="0" fontId="4" numFmtId="164" xfId="0" applyAlignment="1" applyFont="1" applyNumberFormat="1">
      <alignment readingOrder="0" vertical="center"/>
    </xf>
    <xf borderId="0" fillId="0" fontId="5" numFmtId="0" xfId="0" applyAlignment="1" applyFont="1">
      <alignment horizontal="center" readingOrder="0" vertical="center"/>
    </xf>
    <xf borderId="0" fillId="2" fontId="3" numFmtId="3" xfId="0" applyAlignment="1" applyFill="1" applyFont="1" applyNumberFormat="1">
      <alignment vertical="center"/>
    </xf>
    <xf borderId="0" fillId="2" fontId="3" numFmtId="164" xfId="0" applyAlignment="1" applyFont="1" applyNumberFormat="1">
      <alignment vertical="center"/>
    </xf>
    <xf borderId="0" fillId="3" fontId="4" numFmtId="164" xfId="0" applyAlignment="1" applyFill="1" applyFont="1" applyNumberFormat="1">
      <alignment vertical="center"/>
    </xf>
    <xf borderId="0" fillId="3" fontId="4" numFmtId="10" xfId="0" applyAlignment="1" applyFont="1" applyNumberFormat="1">
      <alignment readingOrder="0" vertical="center"/>
    </xf>
    <xf borderId="0" fillId="3" fontId="3" numFmtId="164" xfId="0" applyAlignment="1" applyFont="1" applyNumberFormat="1">
      <alignment readingOrder="0" vertical="center"/>
    </xf>
    <xf borderId="0" fillId="3" fontId="4" numFmtId="9" xfId="0" applyAlignment="1" applyFont="1" applyNumberFormat="1">
      <alignment readingOrder="0" vertical="center"/>
    </xf>
    <xf borderId="0" fillId="3" fontId="4" numFmtId="4" xfId="0" applyAlignment="1" applyFont="1" applyNumberFormat="1">
      <alignment readingOrder="0" vertical="center"/>
    </xf>
    <xf borderId="0" fillId="3" fontId="4" numFmtId="164" xfId="0" applyAlignment="1" applyFont="1" applyNumberFormat="1">
      <alignment readingOrder="0" vertical="center"/>
    </xf>
    <xf borderId="0" fillId="2" fontId="3" numFmtId="4" xfId="0" applyAlignment="1" applyFont="1" applyNumberFormat="1">
      <alignment vertical="center"/>
    </xf>
    <xf borderId="0" fillId="2" fontId="3" numFmtId="165" xfId="0" applyAlignment="1" applyFont="1" applyNumberFormat="1">
      <alignment vertical="center"/>
    </xf>
  </cellXfs>
  <cellStyles count="1">
    <cellStyle xfId="0" name="Normal" builtinId="0"/>
  </cellStyles>
  <dxfs count="0"/>
</styleSheet>
</file>

<file path=xl/_rels/comments1.xml.rels><?xml version="1.0" encoding="UTF-8" standalone="yes"?><Relationships xmlns="http://schemas.openxmlformats.org/package/2006/relationships"><Relationship Id="rId1" Type="http://customschemas.google.com/relationships/workbookmetadata" Target="commentsmeta0"/></Relationships>
</file>

<file path=xl/_rels/comments2.xml.rels><?xml version="1.0" encoding="UTF-8" standalone="yes"?><Relationships xmlns="http://schemas.openxmlformats.org/package/2006/relationships"><Relationship Id="rId1" Type="http://customschemas.google.com/relationships/workbookmetadata" Target="commentsmeta1"/></Relationships>
</file>

<file path=xl/_rels/comments3.xml.rels><?xml version="1.0" encoding="UTF-8" standalone="yes"?><Relationships xmlns="http://schemas.openxmlformats.org/package/2006/relationships"><Relationship Id="rId1" Type="http://customschemas.google.com/relationships/workbookmetadata" Target="commentsmeta2"/></Relationships>
</file>

<file path=xl/_rels/comments4.xml.rels><?xml version="1.0" encoding="UTF-8" standalone="yes"?><Relationships xmlns="http://schemas.openxmlformats.org/package/2006/relationships"><Relationship Id="rId1" Type="http://customschemas.google.com/relationships/workbookmetadata" Target="commentsmeta3"/></Relationships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customschemas.google.com/relationships/workbookmetadata" Target="metadata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drawing" Target="../drawings/drawing2.xml"/><Relationship Id="rId3" Type="http://schemas.openxmlformats.org/officeDocument/2006/relationships/vmlDrawing" Target="../drawings/vmlDrawing2.v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comments" Target="../comments3.xml"/><Relationship Id="rId2" Type="http://schemas.openxmlformats.org/officeDocument/2006/relationships/drawing" Target="../drawings/drawing3.xml"/><Relationship Id="rId3" Type="http://schemas.openxmlformats.org/officeDocument/2006/relationships/vmlDrawing" Target="../drawings/vmlDrawing3.v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comments" Target="../comments4.xml"/><Relationship Id="rId2" Type="http://schemas.openxmlformats.org/officeDocument/2006/relationships/drawing" Target="../drawings/drawing4.xml"/><Relationship Id="rId3" Type="http://schemas.openxmlformats.org/officeDocument/2006/relationships/vmlDrawing" Target="../drawings/vmlDrawing4.v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44.14"/>
    <col customWidth="1" min="3" max="3" width="12.86"/>
    <col customWidth="1" min="4" max="4" width="11.43"/>
    <col customWidth="1" min="5" max="5" width="17.14"/>
    <col customWidth="1" min="6" max="6" width="8.71"/>
    <col customWidth="1" min="7" max="7" width="10.86"/>
    <col customWidth="1" min="8" max="8" width="8.43"/>
    <col customWidth="1" min="9" max="9" width="8.71"/>
    <col customWidth="1" min="10" max="10" width="8.29"/>
    <col customWidth="1" min="11" max="11" width="9.0"/>
    <col customWidth="1" min="12" max="24" width="8.71"/>
  </cols>
  <sheetData>
    <row r="2">
      <c r="A2" s="1" t="s">
        <v>0</v>
      </c>
      <c r="C2" s="2"/>
      <c r="D2" s="1"/>
      <c r="F2" s="2"/>
      <c r="G2" s="1"/>
      <c r="I2" s="2"/>
      <c r="J2" s="1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</row>
    <row r="3">
      <c r="A3" s="3" t="s">
        <v>1</v>
      </c>
      <c r="B3" s="4">
        <v>1000.0</v>
      </c>
      <c r="C3" s="5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5"/>
      <c r="P3" s="5"/>
      <c r="Q3" s="5"/>
      <c r="R3" s="5"/>
      <c r="S3" s="5"/>
      <c r="T3" s="5"/>
      <c r="U3" s="5"/>
      <c r="V3" s="5"/>
      <c r="W3" s="5"/>
      <c r="X3" s="5"/>
    </row>
    <row r="4">
      <c r="A4" s="3" t="s">
        <v>2</v>
      </c>
      <c r="B4" s="6">
        <v>0.2</v>
      </c>
      <c r="C4" s="5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5"/>
      <c r="P4" s="5"/>
      <c r="Q4" s="5"/>
      <c r="R4" s="5"/>
      <c r="S4" s="5"/>
      <c r="T4" s="5"/>
      <c r="U4" s="5"/>
      <c r="V4" s="5"/>
      <c r="W4" s="5"/>
      <c r="X4" s="5"/>
    </row>
    <row r="5">
      <c r="A5" s="3" t="s">
        <v>3</v>
      </c>
      <c r="B5" s="6">
        <v>0.03</v>
      </c>
      <c r="C5" s="5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5"/>
      <c r="P5" s="5"/>
      <c r="Q5" s="5"/>
      <c r="R5" s="5"/>
      <c r="S5" s="5"/>
      <c r="T5" s="5"/>
      <c r="U5" s="5"/>
      <c r="V5" s="5"/>
      <c r="W5" s="5"/>
      <c r="X5" s="5"/>
    </row>
    <row r="6">
      <c r="A6" s="3" t="s">
        <v>4</v>
      </c>
      <c r="B6" s="7">
        <v>2.0</v>
      </c>
      <c r="C6" s="5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5"/>
      <c r="P6" s="5"/>
      <c r="Q6" s="5"/>
      <c r="R6" s="5"/>
      <c r="S6" s="5"/>
      <c r="T6" s="5"/>
      <c r="U6" s="5"/>
      <c r="V6" s="5"/>
      <c r="W6" s="5"/>
      <c r="X6" s="5"/>
    </row>
    <row r="7">
      <c r="A7" s="5" t="s">
        <v>5</v>
      </c>
      <c r="B7" s="8">
        <v>3.0</v>
      </c>
      <c r="C7" s="5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5"/>
      <c r="P7" s="5"/>
      <c r="Q7" s="5"/>
      <c r="R7" s="5"/>
      <c r="S7" s="5"/>
      <c r="T7" s="5"/>
      <c r="U7" s="5"/>
      <c r="V7" s="5"/>
      <c r="W7" s="5"/>
      <c r="X7" s="5"/>
    </row>
    <row r="8">
      <c r="A8" s="9" t="s">
        <v>6</v>
      </c>
      <c r="C8" s="5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5"/>
      <c r="P8" s="5"/>
      <c r="Q8" s="5"/>
      <c r="R8" s="5"/>
      <c r="S8" s="5"/>
      <c r="T8" s="5"/>
      <c r="U8" s="5"/>
      <c r="V8" s="5"/>
      <c r="W8" s="5"/>
      <c r="X8" s="5"/>
    </row>
    <row r="9">
      <c r="A9" s="5" t="s">
        <v>7</v>
      </c>
      <c r="B9" s="10">
        <f>(B3/B7)*1000</f>
        <v>333333.3333</v>
      </c>
      <c r="C9" s="5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5"/>
      <c r="P9" s="5"/>
      <c r="Q9" s="5"/>
      <c r="R9" s="5"/>
      <c r="S9" s="5"/>
      <c r="T9" s="5"/>
      <c r="U9" s="5"/>
      <c r="V9" s="5"/>
      <c r="W9" s="5"/>
      <c r="X9" s="5"/>
    </row>
    <row r="10">
      <c r="A10" s="3" t="s">
        <v>8</v>
      </c>
      <c r="B10" s="10">
        <f>B9/B6</f>
        <v>166666.6667</v>
      </c>
      <c r="C10" s="5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5"/>
      <c r="P10" s="5"/>
      <c r="Q10" s="5"/>
      <c r="R10" s="5"/>
      <c r="S10" s="5"/>
      <c r="T10" s="5"/>
      <c r="U10" s="5"/>
      <c r="V10" s="5"/>
      <c r="W10" s="5"/>
      <c r="X10" s="5"/>
    </row>
    <row r="11">
      <c r="A11" s="3" t="s">
        <v>9</v>
      </c>
      <c r="B11" s="10">
        <f>B9*B5</f>
        <v>10000</v>
      </c>
      <c r="C11" s="5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5"/>
      <c r="P11" s="5"/>
      <c r="Q11" s="5"/>
      <c r="R11" s="5"/>
      <c r="S11" s="5"/>
      <c r="T11" s="5"/>
      <c r="U11" s="5"/>
      <c r="V11" s="5"/>
      <c r="W11" s="5"/>
      <c r="X11" s="5"/>
    </row>
    <row r="12">
      <c r="A12" s="3" t="s">
        <v>0</v>
      </c>
      <c r="B12" s="10">
        <f>B11*B4</f>
        <v>2000</v>
      </c>
      <c r="C12" s="5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5"/>
      <c r="P12" s="5"/>
      <c r="Q12" s="5"/>
      <c r="R12" s="5"/>
      <c r="S12" s="5"/>
      <c r="T12" s="5"/>
      <c r="U12" s="5"/>
      <c r="V12" s="5"/>
      <c r="W12" s="5"/>
      <c r="X12" s="5"/>
    </row>
    <row r="13">
      <c r="A13" s="3" t="s">
        <v>10</v>
      </c>
      <c r="B13" s="11">
        <f>IF(B12&gt;0,B3/B12,0)</f>
        <v>0.5</v>
      </c>
      <c r="C13" s="5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5"/>
      <c r="P13" s="5"/>
      <c r="Q13" s="5"/>
      <c r="R13" s="5"/>
      <c r="S13" s="5"/>
      <c r="T13" s="5"/>
      <c r="U13" s="5"/>
      <c r="V13" s="5"/>
      <c r="W13" s="5"/>
      <c r="X13" s="5"/>
    </row>
    <row r="14">
      <c r="A14" s="5"/>
      <c r="B14" s="5"/>
      <c r="C14" s="5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5"/>
      <c r="P14" s="5"/>
      <c r="Q14" s="5"/>
      <c r="R14" s="5"/>
      <c r="S14" s="5"/>
      <c r="T14" s="5"/>
      <c r="U14" s="5"/>
      <c r="V14" s="5"/>
      <c r="W14" s="5"/>
      <c r="X14" s="5"/>
    </row>
    <row r="15">
      <c r="C15" s="5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5"/>
      <c r="P15" s="5"/>
      <c r="Q15" s="5"/>
      <c r="R15" s="5"/>
      <c r="S15" s="5"/>
      <c r="T15" s="5"/>
      <c r="U15" s="5"/>
      <c r="V15" s="5"/>
      <c r="W15" s="5"/>
      <c r="X15" s="5"/>
    </row>
    <row r="16">
      <c r="C16" s="5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5"/>
      <c r="P16" s="5"/>
      <c r="Q16" s="5"/>
      <c r="R16" s="5"/>
      <c r="S16" s="5"/>
      <c r="T16" s="5"/>
      <c r="U16" s="5"/>
      <c r="V16" s="5"/>
      <c r="W16" s="5"/>
      <c r="X16" s="5"/>
    </row>
    <row r="17">
      <c r="C17" s="5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5"/>
      <c r="P17" s="5"/>
      <c r="Q17" s="5"/>
      <c r="R17" s="5"/>
      <c r="S17" s="5"/>
      <c r="T17" s="5"/>
      <c r="U17" s="5"/>
      <c r="V17" s="5"/>
      <c r="W17" s="5"/>
      <c r="X17" s="5"/>
    </row>
    <row r="18">
      <c r="C18" s="5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5"/>
      <c r="P18" s="5"/>
      <c r="Q18" s="5"/>
      <c r="R18" s="5"/>
      <c r="S18" s="5"/>
      <c r="T18" s="5"/>
      <c r="U18" s="5"/>
      <c r="V18" s="5"/>
      <c r="W18" s="5"/>
      <c r="X18" s="5"/>
    </row>
    <row r="19"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</row>
    <row r="20"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</row>
    <row r="21"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</row>
    <row r="22"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</row>
    <row r="23"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</row>
    <row r="24"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</row>
    <row r="25" ht="15.75" customHeight="1"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</row>
    <row r="26" ht="15.75" customHeight="1"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</row>
    <row r="27" ht="15.75" customHeight="1"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</row>
    <row r="28" ht="15.75" customHeight="1"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</row>
    <row r="29" ht="15.75" customHeight="1"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</row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  <row r="1004" ht="15.75" customHeight="1"/>
    <row r="1005" ht="15.75" customHeight="1"/>
  </sheetData>
  <mergeCells count="5">
    <mergeCell ref="A2:B2"/>
    <mergeCell ref="D2:E2"/>
    <mergeCell ref="G2:H2"/>
    <mergeCell ref="J2:K2"/>
    <mergeCell ref="A8:B8"/>
  </mergeCells>
  <printOptions/>
  <pageMargins bottom="1.0" footer="0.0" header="0.0" left="0.75" right="0.75" top="1.0"/>
  <pageSetup orientation="landscape"/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44.14"/>
    <col customWidth="1" min="3" max="3" width="12.86"/>
    <col customWidth="1" min="4" max="4" width="11.29"/>
    <col customWidth="1" min="5" max="5" width="9.0"/>
    <col customWidth="1" min="6" max="6" width="8.71"/>
    <col customWidth="1" min="7" max="7" width="8.43"/>
    <col customWidth="1" min="8" max="8" width="8.57"/>
    <col customWidth="1" min="9" max="9" width="8.71"/>
    <col customWidth="1" min="10" max="10" width="8.86"/>
    <col customWidth="1" min="11" max="11" width="10.14"/>
    <col customWidth="1" min="12" max="25" width="8.71"/>
  </cols>
  <sheetData>
    <row r="2">
      <c r="A2" s="1" t="s">
        <v>11</v>
      </c>
      <c r="C2" s="2"/>
      <c r="F2" s="2"/>
      <c r="G2" s="1"/>
      <c r="I2" s="2"/>
      <c r="J2" s="1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</row>
    <row r="3">
      <c r="A3" s="3" t="s">
        <v>1</v>
      </c>
      <c r="B3" s="12">
        <v>1000.0</v>
      </c>
      <c r="C3" s="5"/>
      <c r="F3" s="5"/>
      <c r="G3" s="3"/>
      <c r="H3" s="4"/>
      <c r="I3" s="5"/>
      <c r="J3" s="3"/>
      <c r="K3" s="4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</row>
    <row r="4">
      <c r="A4" s="3" t="s">
        <v>12</v>
      </c>
      <c r="B4" s="13">
        <v>0.04</v>
      </c>
      <c r="C4" s="5"/>
      <c r="F4" s="5"/>
      <c r="G4" s="5"/>
      <c r="H4" s="6"/>
      <c r="I4" s="5"/>
      <c r="J4" s="5"/>
      <c r="K4" s="6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</row>
    <row r="5" ht="20.25" customHeight="1">
      <c r="A5" s="3" t="s">
        <v>13</v>
      </c>
      <c r="B5" s="14">
        <v>100.0</v>
      </c>
      <c r="C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</row>
    <row r="6">
      <c r="A6" s="3" t="s">
        <v>14</v>
      </c>
      <c r="B6" s="15">
        <v>0.7</v>
      </c>
      <c r="C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</row>
    <row r="7">
      <c r="A7" s="3" t="s">
        <v>15</v>
      </c>
      <c r="B7" s="13">
        <v>0.02</v>
      </c>
      <c r="C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</row>
    <row r="8">
      <c r="A8" s="3" t="s">
        <v>4</v>
      </c>
      <c r="B8" s="16">
        <v>2.0</v>
      </c>
      <c r="C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</row>
    <row r="9">
      <c r="A9" s="5" t="s">
        <v>5</v>
      </c>
      <c r="B9" s="17">
        <v>10.0</v>
      </c>
      <c r="C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</row>
    <row r="10">
      <c r="A10" s="9" t="s">
        <v>6</v>
      </c>
      <c r="C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</row>
    <row r="11">
      <c r="A11" s="5" t="s">
        <v>7</v>
      </c>
      <c r="B11" s="10">
        <f>(B3/B9)*1000</f>
        <v>100000</v>
      </c>
      <c r="C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</row>
    <row r="12">
      <c r="A12" s="3" t="s">
        <v>8</v>
      </c>
      <c r="B12" s="10">
        <f>B11/B8</f>
        <v>50000</v>
      </c>
      <c r="C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</row>
    <row r="13">
      <c r="A13" s="3" t="s">
        <v>16</v>
      </c>
      <c r="B13" s="10">
        <f>B11*B7</f>
        <v>2000</v>
      </c>
      <c r="C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</row>
    <row r="14">
      <c r="A14" s="3" t="s">
        <v>17</v>
      </c>
      <c r="B14" s="18">
        <f>B13*B6</f>
        <v>1400</v>
      </c>
      <c r="C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</row>
    <row r="15">
      <c r="A15" s="3" t="s">
        <v>18</v>
      </c>
      <c r="B15" s="18">
        <f>B14*B4</f>
        <v>56</v>
      </c>
      <c r="C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</row>
    <row r="16">
      <c r="A16" s="3" t="s">
        <v>19</v>
      </c>
      <c r="B16" s="11">
        <f>IF(B15&gt;0,B3/B15,0)</f>
        <v>17.85714286</v>
      </c>
      <c r="C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</row>
    <row r="17" ht="21.0" customHeight="1">
      <c r="A17" s="3" t="s">
        <v>20</v>
      </c>
      <c r="B17" s="19">
        <f>B5*B15</f>
        <v>5600</v>
      </c>
      <c r="C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</row>
    <row r="18">
      <c r="A18" s="3" t="s">
        <v>21</v>
      </c>
      <c r="B18" s="18">
        <f>B17/B3</f>
        <v>5.6</v>
      </c>
      <c r="C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</row>
    <row r="19">
      <c r="A19" s="5"/>
      <c r="B19" s="5"/>
      <c r="G19" s="5"/>
      <c r="H19" s="5"/>
      <c r="I19" s="5"/>
      <c r="J19" s="5"/>
      <c r="K19" s="5"/>
      <c r="L19" s="5"/>
      <c r="M19" s="5"/>
    </row>
    <row r="20">
      <c r="A20" s="5"/>
      <c r="B20" s="5"/>
      <c r="G20" s="5"/>
      <c r="H20" s="5"/>
      <c r="I20" s="5"/>
      <c r="J20" s="5"/>
      <c r="K20" s="5"/>
      <c r="L20" s="5"/>
      <c r="M20" s="5"/>
    </row>
    <row r="21">
      <c r="A21" s="5"/>
      <c r="B21" s="5"/>
      <c r="G21" s="5"/>
      <c r="H21" s="5"/>
      <c r="I21" s="5"/>
      <c r="J21" s="5"/>
      <c r="K21" s="5"/>
      <c r="L21" s="5"/>
      <c r="M21" s="5"/>
    </row>
    <row r="22">
      <c r="A22" s="5"/>
      <c r="B22" s="5"/>
      <c r="G22" s="5"/>
      <c r="H22" s="5"/>
      <c r="I22" s="5"/>
      <c r="J22" s="5"/>
      <c r="K22" s="5"/>
      <c r="L22" s="5"/>
      <c r="M22" s="5"/>
    </row>
    <row r="23">
      <c r="A23" s="5"/>
      <c r="B23" s="5"/>
    </row>
    <row r="24">
      <c r="A24" s="5"/>
      <c r="B24" s="5"/>
    </row>
    <row r="25" ht="15.75" customHeight="1">
      <c r="A25" s="5"/>
      <c r="B25" s="5"/>
    </row>
    <row r="26" ht="15.75" customHeight="1">
      <c r="A26" s="5"/>
      <c r="B26" s="5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  <row r="1004" ht="15.75" customHeight="1"/>
    <row r="1005" ht="15.75" customHeight="1"/>
  </sheetData>
  <mergeCells count="4">
    <mergeCell ref="A2:B2"/>
    <mergeCell ref="G2:H2"/>
    <mergeCell ref="J2:K2"/>
    <mergeCell ref="A10:B10"/>
  </mergeCells>
  <printOptions/>
  <pageMargins bottom="1.0" footer="0.0" header="0.0" left="0.75" right="0.75" top="1.0"/>
  <pageSetup orientation="landscape"/>
  <drawing r:id="rId2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8.57"/>
    <col customWidth="1" min="2" max="2" width="15.0"/>
    <col customWidth="1" min="3" max="27" width="8.71"/>
  </cols>
  <sheetData>
    <row r="2">
      <c r="A2" s="1" t="s">
        <v>22</v>
      </c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</row>
    <row r="3">
      <c r="A3" s="3" t="s">
        <v>1</v>
      </c>
      <c r="B3" s="4">
        <v>1000.0</v>
      </c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  <c r="AA3" s="5"/>
    </row>
    <row r="4">
      <c r="A4" s="5" t="s">
        <v>23</v>
      </c>
      <c r="B4" s="6">
        <v>0.1</v>
      </c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</row>
    <row r="5">
      <c r="A5" s="3" t="s">
        <v>3</v>
      </c>
      <c r="B5" s="6">
        <v>0.025</v>
      </c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</row>
    <row r="6">
      <c r="A6" s="3" t="s">
        <v>4</v>
      </c>
      <c r="B6" s="7">
        <v>2.0</v>
      </c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</row>
    <row r="7">
      <c r="A7" s="5" t="s">
        <v>5</v>
      </c>
      <c r="B7" s="8">
        <v>7.0</v>
      </c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</row>
    <row r="8">
      <c r="A8" s="9" t="s">
        <v>6</v>
      </c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</row>
    <row r="9">
      <c r="A9" s="5" t="s">
        <v>7</v>
      </c>
      <c r="B9" s="10">
        <f>(B3/B7)*1000</f>
        <v>142857.1429</v>
      </c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</row>
    <row r="10">
      <c r="A10" s="3" t="s">
        <v>8</v>
      </c>
      <c r="B10" s="10">
        <f>B9/B6</f>
        <v>71428.57143</v>
      </c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</row>
    <row r="11">
      <c r="A11" s="3" t="s">
        <v>9</v>
      </c>
      <c r="B11" s="10">
        <f>B9*B5</f>
        <v>3571.428571</v>
      </c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</row>
    <row r="12">
      <c r="A12" s="3" t="s">
        <v>24</v>
      </c>
      <c r="B12" s="10">
        <f>B11*B4</f>
        <v>357.1428571</v>
      </c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</row>
    <row r="13">
      <c r="A13" s="3" t="s">
        <v>25</v>
      </c>
      <c r="B13" s="11">
        <f>IF(B12&gt;0,B3/B12,0)</f>
        <v>2.8</v>
      </c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</row>
    <row r="14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</row>
    <row r="15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</row>
    <row r="16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</row>
    <row r="17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</row>
    <row r="18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</row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  <row r="1004" ht="15.75" customHeight="1"/>
    <row r="1005" ht="15.75" customHeight="1"/>
  </sheetData>
  <mergeCells count="2">
    <mergeCell ref="A2:B2"/>
    <mergeCell ref="A8:B8"/>
  </mergeCells>
  <printOptions/>
  <pageMargins bottom="1.0" footer="0.0" header="0.0" left="0.75" right="0.75" top="1.0"/>
  <pageSetup orientation="landscape"/>
  <drawing r:id="rId2"/>
  <legacy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42.14"/>
    <col customWidth="1" min="2" max="2" width="13.43"/>
    <col customWidth="1" min="3" max="27" width="8.71"/>
  </cols>
  <sheetData>
    <row r="2" ht="21.0" customHeight="1">
      <c r="A2" s="1" t="s">
        <v>26</v>
      </c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</row>
    <row r="3">
      <c r="A3" s="3" t="s">
        <v>1</v>
      </c>
      <c r="B3" s="4">
        <v>1000.0</v>
      </c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  <c r="AA3" s="5"/>
    </row>
    <row r="4">
      <c r="A4" s="5" t="s">
        <v>23</v>
      </c>
      <c r="B4" s="6">
        <v>0.2</v>
      </c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</row>
    <row r="5">
      <c r="A5" s="3" t="s">
        <v>14</v>
      </c>
      <c r="B5" s="15">
        <v>0.8</v>
      </c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</row>
    <row r="6">
      <c r="A6" s="3" t="s">
        <v>15</v>
      </c>
      <c r="B6" s="6">
        <v>0.015</v>
      </c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</row>
    <row r="7">
      <c r="A7" s="3" t="s">
        <v>4</v>
      </c>
      <c r="B7" s="7">
        <v>1.5</v>
      </c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</row>
    <row r="8">
      <c r="A8" s="5" t="s">
        <v>5</v>
      </c>
      <c r="B8" s="8">
        <v>10.0</v>
      </c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</row>
    <row r="9">
      <c r="A9" s="9" t="s">
        <v>6</v>
      </c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</row>
    <row r="10">
      <c r="A10" s="5" t="s">
        <v>7</v>
      </c>
      <c r="B10" s="10">
        <f>(B3/B8)*1000</f>
        <v>100000</v>
      </c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</row>
    <row r="11">
      <c r="A11" s="3" t="s">
        <v>8</v>
      </c>
      <c r="B11" s="10">
        <f>B10/B7</f>
        <v>66666.66667</v>
      </c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</row>
    <row r="12">
      <c r="A12" s="3" t="s">
        <v>16</v>
      </c>
      <c r="B12" s="10">
        <f>B10*B6</f>
        <v>1500</v>
      </c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</row>
    <row r="13">
      <c r="A13" s="3" t="s">
        <v>17</v>
      </c>
      <c r="B13" s="10">
        <f>B12*B5</f>
        <v>1200</v>
      </c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</row>
    <row r="14">
      <c r="A14" s="3" t="s">
        <v>24</v>
      </c>
      <c r="B14" s="10">
        <f>B12*B4</f>
        <v>300</v>
      </c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</row>
    <row r="15">
      <c r="A15" s="3" t="s">
        <v>25</v>
      </c>
      <c r="B15" s="11">
        <f>IF(B14&gt;0,B3/B14,0)</f>
        <v>3.333333333</v>
      </c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</row>
    <row r="16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</row>
    <row r="17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</row>
    <row r="18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</row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  <row r="1004" ht="15.75" customHeight="1"/>
    <row r="1005" ht="15.75" customHeight="1"/>
  </sheetData>
  <mergeCells count="2">
    <mergeCell ref="A2:B2"/>
    <mergeCell ref="A9:B9"/>
  </mergeCells>
  <printOptions/>
  <pageMargins bottom="1.0" footer="0.0" header="0.0" left="0.75" right="0.75" top="1.0"/>
  <pageSetup orientation="landscape"/>
  <drawing r:id="rId2"/>
  <legacyDrawing r:id="rId3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47.57"/>
    <col customWidth="1" min="2" max="2" width="13.43"/>
    <col customWidth="1" min="3" max="27" width="8.71"/>
  </cols>
  <sheetData>
    <row r="2">
      <c r="A2" s="1" t="s">
        <v>27</v>
      </c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</row>
    <row r="3">
      <c r="A3" s="3" t="s">
        <v>1</v>
      </c>
      <c r="B3" s="8">
        <v>300.0</v>
      </c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  <c r="AA3" s="5"/>
    </row>
    <row r="4">
      <c r="A4" s="3" t="s">
        <v>28</v>
      </c>
      <c r="B4" s="8">
        <v>0.7</v>
      </c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</row>
    <row r="5">
      <c r="A5" s="3" t="s">
        <v>29</v>
      </c>
      <c r="B5" s="8">
        <v>0.01</v>
      </c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</row>
    <row r="6">
      <c r="A6" s="3" t="s">
        <v>4</v>
      </c>
      <c r="B6" s="7">
        <v>1.2</v>
      </c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</row>
    <row r="7">
      <c r="A7" s="9" t="s">
        <v>6</v>
      </c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</row>
    <row r="8">
      <c r="A8" s="3" t="s">
        <v>7</v>
      </c>
      <c r="B8" s="10">
        <f>B9*B6</f>
        <v>514285.7143</v>
      </c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</row>
    <row r="9">
      <c r="A9" s="3" t="s">
        <v>8</v>
      </c>
      <c r="B9" s="10">
        <f>(B3/B4)*1000</f>
        <v>428571.4286</v>
      </c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</row>
    <row r="10">
      <c r="A10" s="3" t="s">
        <v>30</v>
      </c>
      <c r="B10" s="10">
        <f>B3/B5</f>
        <v>30000</v>
      </c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</row>
    <row r="11">
      <c r="A11" s="3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</row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</sheetData>
  <mergeCells count="2">
    <mergeCell ref="A2:B2"/>
    <mergeCell ref="A7:B7"/>
  </mergeCells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2025-02-26T16:40:27Z</dcterms:created>
  <dc:creator>openpyxl</dc:creator>
</cp:coreProperties>
</file>